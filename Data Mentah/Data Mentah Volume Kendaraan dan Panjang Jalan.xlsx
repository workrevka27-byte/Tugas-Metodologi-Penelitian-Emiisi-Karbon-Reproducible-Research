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New folder\"/>
    </mc:Choice>
  </mc:AlternateContent>
  <xr:revisionPtr revIDLastSave="0" documentId="8_{BFCE6F67-BD43-42B6-A14A-B27047830755}" xr6:coauthVersionLast="47" xr6:coauthVersionMax="47" xr10:uidLastSave="{00000000-0000-0000-0000-000000000000}"/>
  <bookViews>
    <workbookView xWindow="-110" yWindow="-110" windowWidth="19420" windowHeight="11020" xr2:uid="{1823A415-92E1-4A2E-8417-8CCE58404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8" i="1" l="1"/>
  <c r="AH27" i="1"/>
  <c r="AD28" i="1"/>
  <c r="AD27" i="1"/>
  <c r="Z28" i="1"/>
  <c r="Z27" i="1"/>
  <c r="V28" i="1"/>
  <c r="V27" i="1"/>
  <c r="R28" i="1"/>
  <c r="R27" i="1"/>
  <c r="N28" i="1"/>
  <c r="N27" i="1"/>
  <c r="J28" i="1"/>
  <c r="J27" i="1"/>
  <c r="F28" i="1"/>
  <c r="F27" i="1"/>
</calcChain>
</file>

<file path=xl/sharedStrings.xml><?xml version="1.0" encoding="utf-8"?>
<sst xmlns="http://schemas.openxmlformats.org/spreadsheetml/2006/main" count="151" uniqueCount="27">
  <si>
    <t>Waktu Sesi</t>
  </si>
  <si>
    <t>Jl. Ramin</t>
  </si>
  <si>
    <t>Jl. Meranti</t>
  </si>
  <si>
    <t>Jl. Kamper</t>
  </si>
  <si>
    <t>Jl. Ulin</t>
  </si>
  <si>
    <t>Jl. Pinus</t>
  </si>
  <si>
    <t>Jl. Tj</t>
  </si>
  <si>
    <t>Jl. Agatis 1</t>
  </si>
  <si>
    <t>Jl. Agatis 2</t>
  </si>
  <si>
    <t>Motor</t>
  </si>
  <si>
    <t>Mobil</t>
  </si>
  <si>
    <t>Bus</t>
  </si>
  <si>
    <t>Total</t>
  </si>
  <si>
    <t>Ult. Peak</t>
  </si>
  <si>
    <t>Pagi</t>
  </si>
  <si>
    <t>Interval 1</t>
  </si>
  <si>
    <t>Siang</t>
  </si>
  <si>
    <t>Interval 2</t>
  </si>
  <si>
    <t>Sore</t>
  </si>
  <si>
    <t>Hari Kerja</t>
  </si>
  <si>
    <t>Hari Libur</t>
  </si>
  <si>
    <t>Rabu</t>
  </si>
  <si>
    <t>Sabtu</t>
  </si>
  <si>
    <t>KONDISI RATA-RATA HARIAN</t>
  </si>
  <si>
    <t>KONDISI PEAK HOUR</t>
  </si>
  <si>
    <t>Panjang Jalan (km)</t>
  </si>
  <si>
    <t>Nama
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</si>
</sst>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E061-D743-431A-A3EF-E09DB1F9F954}">
  <dimension ref="B2:AH41"/>
  <sheetViews>
    <sheetView tabSelected="1" topLeftCell="A11" zoomScale="57" zoomScaleNormal="100" workbookViewId="0">
      <selection activeCell="H32" sqref="H32"/>
    </sheetView>
  </sheetViews>
  <sheetFormatPr defaultRowHeight="14.5" x14ac:dyDescent="0.35"/>
  <cols>
    <col min="1" max="1" width="8.7265625" style="1"/>
    <col min="2" max="2" width="10.81640625" style="1" bestFit="1" customWidth="1"/>
    <col min="3" max="3" width="11.7265625" style="1" bestFit="1" customWidth="1"/>
    <col min="4" max="16384" width="8.7265625" style="1"/>
  </cols>
  <sheetData>
    <row r="2" spans="2:34" ht="26" x14ac:dyDescent="0.35">
      <c r="B2" s="11" t="s">
        <v>24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t="21" x14ac:dyDescent="0.35">
      <c r="B3" s="5" t="s">
        <v>0</v>
      </c>
      <c r="C3" s="8" t="s">
        <v>19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2:34" x14ac:dyDescent="0.35">
      <c r="B4" s="5"/>
      <c r="C4" s="6" t="s">
        <v>1</v>
      </c>
      <c r="D4" s="6"/>
      <c r="E4" s="6"/>
      <c r="F4" s="6"/>
      <c r="G4" s="6" t="s">
        <v>2</v>
      </c>
      <c r="H4" s="6"/>
      <c r="I4" s="6"/>
      <c r="J4" s="6"/>
      <c r="K4" s="6" t="s">
        <v>3</v>
      </c>
      <c r="L4" s="6"/>
      <c r="M4" s="6"/>
      <c r="N4" s="6"/>
      <c r="O4" s="6" t="s">
        <v>4</v>
      </c>
      <c r="P4" s="6"/>
      <c r="Q4" s="6"/>
      <c r="R4" s="6"/>
      <c r="S4" s="6" t="s">
        <v>5</v>
      </c>
      <c r="T4" s="6"/>
      <c r="U4" s="6"/>
      <c r="V4" s="6"/>
      <c r="W4" s="6" t="s">
        <v>6</v>
      </c>
      <c r="X4" s="6"/>
      <c r="Y4" s="6"/>
      <c r="Z4" s="6"/>
      <c r="AA4" s="6" t="s">
        <v>7</v>
      </c>
      <c r="AB4" s="6"/>
      <c r="AC4" s="6"/>
      <c r="AD4" s="6"/>
      <c r="AE4" s="6" t="s">
        <v>8</v>
      </c>
      <c r="AF4" s="6"/>
      <c r="AG4" s="6"/>
      <c r="AH4" s="6"/>
    </row>
    <row r="5" spans="2:34" x14ac:dyDescent="0.35">
      <c r="B5" s="5"/>
      <c r="C5" s="7" t="s">
        <v>9</v>
      </c>
      <c r="D5" s="7" t="s">
        <v>10</v>
      </c>
      <c r="E5" s="7" t="s">
        <v>11</v>
      </c>
      <c r="F5" s="7" t="s">
        <v>12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9</v>
      </c>
      <c r="P5" s="7" t="s">
        <v>10</v>
      </c>
      <c r="Q5" s="7" t="s">
        <v>11</v>
      </c>
      <c r="R5" s="7" t="s">
        <v>12</v>
      </c>
      <c r="S5" s="7" t="s">
        <v>9</v>
      </c>
      <c r="T5" s="7" t="s">
        <v>10</v>
      </c>
      <c r="U5" s="7" t="s">
        <v>11</v>
      </c>
      <c r="V5" s="7" t="s">
        <v>12</v>
      </c>
      <c r="W5" s="7" t="s">
        <v>9</v>
      </c>
      <c r="X5" s="7" t="s">
        <v>10</v>
      </c>
      <c r="Y5" s="7" t="s">
        <v>11</v>
      </c>
      <c r="Z5" s="7" t="s">
        <v>12</v>
      </c>
      <c r="AA5" s="7" t="s">
        <v>9</v>
      </c>
      <c r="AB5" s="7" t="s">
        <v>10</v>
      </c>
      <c r="AC5" s="7" t="s">
        <v>11</v>
      </c>
      <c r="AD5" s="7" t="s">
        <v>12</v>
      </c>
      <c r="AE5" s="7" t="s">
        <v>9</v>
      </c>
      <c r="AF5" s="7" t="s">
        <v>10</v>
      </c>
      <c r="AG5" s="7" t="s">
        <v>11</v>
      </c>
      <c r="AH5" s="7" t="s">
        <v>12</v>
      </c>
    </row>
    <row r="6" spans="2:34" x14ac:dyDescent="0.35">
      <c r="B6" s="4" t="s">
        <v>14</v>
      </c>
      <c r="C6" s="3">
        <v>3457</v>
      </c>
      <c r="D6" s="3">
        <v>384</v>
      </c>
      <c r="E6" s="3">
        <v>5</v>
      </c>
      <c r="F6" s="3">
        <v>3846</v>
      </c>
      <c r="G6" s="3">
        <v>2542</v>
      </c>
      <c r="H6" s="3">
        <v>329</v>
      </c>
      <c r="I6" s="3">
        <v>29</v>
      </c>
      <c r="J6" s="3">
        <v>2900</v>
      </c>
      <c r="K6" s="3">
        <v>1072</v>
      </c>
      <c r="L6" s="3">
        <v>104</v>
      </c>
      <c r="M6" s="3">
        <v>3</v>
      </c>
      <c r="N6" s="3">
        <v>1179</v>
      </c>
      <c r="O6" s="3">
        <v>730</v>
      </c>
      <c r="P6" s="3">
        <v>87</v>
      </c>
      <c r="Q6" s="3">
        <v>0</v>
      </c>
      <c r="R6" s="3">
        <v>817</v>
      </c>
      <c r="S6" s="3">
        <v>338</v>
      </c>
      <c r="T6" s="3">
        <v>46</v>
      </c>
      <c r="U6" s="3">
        <v>0</v>
      </c>
      <c r="V6" s="3">
        <v>384</v>
      </c>
      <c r="W6" s="3">
        <v>1347</v>
      </c>
      <c r="X6" s="3">
        <v>153</v>
      </c>
      <c r="Y6" s="3">
        <v>26</v>
      </c>
      <c r="Z6" s="3">
        <v>1526</v>
      </c>
      <c r="AA6" s="3">
        <v>1942</v>
      </c>
      <c r="AB6" s="3">
        <v>183</v>
      </c>
      <c r="AC6" s="3">
        <v>24</v>
      </c>
      <c r="AD6" s="3">
        <v>2149</v>
      </c>
      <c r="AE6" s="3">
        <v>2141</v>
      </c>
      <c r="AF6" s="3">
        <v>184</v>
      </c>
      <c r="AG6" s="3">
        <v>38</v>
      </c>
      <c r="AH6" s="3">
        <v>2363</v>
      </c>
    </row>
    <row r="7" spans="2:34" x14ac:dyDescent="0.35">
      <c r="B7" s="4" t="s">
        <v>15</v>
      </c>
      <c r="C7" s="3">
        <v>1957</v>
      </c>
      <c r="D7" s="3">
        <v>230</v>
      </c>
      <c r="E7" s="3">
        <v>11</v>
      </c>
      <c r="F7" s="3">
        <v>2198</v>
      </c>
      <c r="G7" s="3">
        <v>1861</v>
      </c>
      <c r="H7" s="3">
        <v>196</v>
      </c>
      <c r="I7" s="3">
        <v>10</v>
      </c>
      <c r="J7" s="3">
        <v>2067</v>
      </c>
      <c r="K7" s="3">
        <v>961</v>
      </c>
      <c r="L7" s="3">
        <v>84</v>
      </c>
      <c r="M7" s="3">
        <v>8</v>
      </c>
      <c r="N7" s="3">
        <v>1053</v>
      </c>
      <c r="O7" s="3">
        <v>499</v>
      </c>
      <c r="P7" s="3">
        <v>62</v>
      </c>
      <c r="Q7" s="3">
        <v>1</v>
      </c>
      <c r="R7" s="3">
        <v>562</v>
      </c>
      <c r="S7" s="3">
        <v>346</v>
      </c>
      <c r="T7" s="3">
        <v>78</v>
      </c>
      <c r="U7" s="3">
        <v>0</v>
      </c>
      <c r="V7" s="3">
        <v>424</v>
      </c>
      <c r="W7" s="3">
        <v>716</v>
      </c>
      <c r="X7" s="3">
        <v>54</v>
      </c>
      <c r="Y7" s="3">
        <v>9</v>
      </c>
      <c r="Z7" s="3">
        <v>779</v>
      </c>
      <c r="AA7" s="3">
        <v>736</v>
      </c>
      <c r="AB7" s="3">
        <v>107</v>
      </c>
      <c r="AC7" s="3">
        <v>12</v>
      </c>
      <c r="AD7" s="3">
        <v>855</v>
      </c>
      <c r="AE7" s="3">
        <v>932</v>
      </c>
      <c r="AF7" s="3">
        <v>106</v>
      </c>
      <c r="AG7" s="3">
        <v>14</v>
      </c>
      <c r="AH7" s="3">
        <v>1052</v>
      </c>
    </row>
    <row r="8" spans="2:34" x14ac:dyDescent="0.35">
      <c r="B8" s="4" t="s">
        <v>16</v>
      </c>
      <c r="C8" s="3">
        <v>2031</v>
      </c>
      <c r="D8" s="3">
        <v>234</v>
      </c>
      <c r="E8" s="3">
        <v>10</v>
      </c>
      <c r="F8" s="3">
        <v>2275</v>
      </c>
      <c r="G8" s="3">
        <v>1774</v>
      </c>
      <c r="H8" s="3">
        <v>221</v>
      </c>
      <c r="I8" s="3">
        <v>11</v>
      </c>
      <c r="J8" s="3">
        <v>2006</v>
      </c>
      <c r="K8" s="3">
        <v>897</v>
      </c>
      <c r="L8" s="3">
        <v>101</v>
      </c>
      <c r="M8" s="3">
        <v>3</v>
      </c>
      <c r="N8" s="3">
        <v>1001</v>
      </c>
      <c r="O8" s="3">
        <v>808</v>
      </c>
      <c r="P8" s="3">
        <v>143</v>
      </c>
      <c r="Q8" s="3">
        <v>1</v>
      </c>
      <c r="R8" s="3">
        <v>952</v>
      </c>
      <c r="S8" s="3">
        <v>1220</v>
      </c>
      <c r="T8" s="3">
        <v>147</v>
      </c>
      <c r="U8" s="3">
        <v>0</v>
      </c>
      <c r="V8" s="3">
        <v>1367</v>
      </c>
      <c r="W8" s="3">
        <v>1087</v>
      </c>
      <c r="X8" s="3">
        <v>123</v>
      </c>
      <c r="Y8" s="3">
        <v>17</v>
      </c>
      <c r="Z8" s="3">
        <v>1227</v>
      </c>
      <c r="AA8" s="3">
        <v>456</v>
      </c>
      <c r="AB8" s="3">
        <v>93</v>
      </c>
      <c r="AC8" s="3">
        <v>11</v>
      </c>
      <c r="AD8" s="3">
        <v>560</v>
      </c>
      <c r="AE8" s="3">
        <v>1173</v>
      </c>
      <c r="AF8" s="3">
        <v>157</v>
      </c>
      <c r="AG8" s="3">
        <v>12</v>
      </c>
      <c r="AH8" s="3">
        <v>1342</v>
      </c>
    </row>
    <row r="9" spans="2:34" x14ac:dyDescent="0.35">
      <c r="B9" s="4" t="s">
        <v>17</v>
      </c>
      <c r="C9" s="3">
        <v>441</v>
      </c>
      <c r="D9" s="3">
        <v>189</v>
      </c>
      <c r="E9" s="3">
        <v>3</v>
      </c>
      <c r="F9" s="3">
        <v>633</v>
      </c>
      <c r="G9" s="3">
        <v>1213</v>
      </c>
      <c r="H9" s="3">
        <v>195</v>
      </c>
      <c r="I9" s="3">
        <v>7</v>
      </c>
      <c r="J9" s="3">
        <v>1415</v>
      </c>
      <c r="K9" s="3">
        <v>512</v>
      </c>
      <c r="L9" s="3">
        <v>98</v>
      </c>
      <c r="M9" s="3">
        <v>1</v>
      </c>
      <c r="N9" s="3">
        <v>611</v>
      </c>
      <c r="O9" s="3">
        <v>828</v>
      </c>
      <c r="P9" s="3">
        <v>126</v>
      </c>
      <c r="Q9" s="3">
        <v>0</v>
      </c>
      <c r="R9" s="3">
        <v>954</v>
      </c>
      <c r="S9" s="3">
        <v>1137</v>
      </c>
      <c r="T9" s="3">
        <v>174</v>
      </c>
      <c r="U9" s="3">
        <v>4</v>
      </c>
      <c r="V9" s="3">
        <v>1315</v>
      </c>
      <c r="W9" s="3">
        <v>676</v>
      </c>
      <c r="X9" s="3">
        <v>112</v>
      </c>
      <c r="Y9" s="3">
        <v>7</v>
      </c>
      <c r="Z9" s="3">
        <v>795</v>
      </c>
      <c r="AA9" s="3">
        <v>252</v>
      </c>
      <c r="AB9" s="3">
        <v>94</v>
      </c>
      <c r="AC9" s="3">
        <v>5</v>
      </c>
      <c r="AD9" s="3">
        <v>351</v>
      </c>
      <c r="AE9" s="3">
        <v>299</v>
      </c>
      <c r="AF9" s="3">
        <v>84</v>
      </c>
      <c r="AG9" s="3">
        <v>6</v>
      </c>
      <c r="AH9" s="3">
        <v>389</v>
      </c>
    </row>
    <row r="10" spans="2:34" x14ac:dyDescent="0.35">
      <c r="B10" s="4" t="s">
        <v>18</v>
      </c>
      <c r="C10" s="3">
        <v>1107</v>
      </c>
      <c r="D10" s="3">
        <v>227</v>
      </c>
      <c r="E10" s="3">
        <v>11</v>
      </c>
      <c r="F10" s="3">
        <v>1345</v>
      </c>
      <c r="G10" s="3">
        <v>1696</v>
      </c>
      <c r="H10" s="3">
        <v>264</v>
      </c>
      <c r="I10" s="3">
        <v>21</v>
      </c>
      <c r="J10" s="3">
        <v>1981</v>
      </c>
      <c r="K10" s="3">
        <v>684</v>
      </c>
      <c r="L10" s="3">
        <v>100</v>
      </c>
      <c r="M10" s="3">
        <v>6</v>
      </c>
      <c r="N10" s="3">
        <v>790</v>
      </c>
      <c r="O10" s="3">
        <v>531</v>
      </c>
      <c r="P10" s="3">
        <v>95</v>
      </c>
      <c r="Q10" s="3">
        <v>3</v>
      </c>
      <c r="R10" s="3">
        <v>629</v>
      </c>
      <c r="S10" s="3">
        <v>999</v>
      </c>
      <c r="T10" s="3">
        <v>166</v>
      </c>
      <c r="U10" s="3">
        <v>5</v>
      </c>
      <c r="V10" s="3">
        <v>1170</v>
      </c>
      <c r="W10" s="3">
        <v>760</v>
      </c>
      <c r="X10" s="3">
        <v>91</v>
      </c>
      <c r="Y10" s="3">
        <v>21</v>
      </c>
      <c r="Z10" s="3">
        <v>872</v>
      </c>
      <c r="AA10" s="3">
        <v>745</v>
      </c>
      <c r="AB10" s="3">
        <v>132</v>
      </c>
      <c r="AC10" s="3">
        <v>11</v>
      </c>
      <c r="AD10" s="3">
        <v>888</v>
      </c>
      <c r="AE10" s="3">
        <v>476</v>
      </c>
      <c r="AF10" s="3">
        <v>66</v>
      </c>
      <c r="AG10" s="3">
        <v>5</v>
      </c>
      <c r="AH10" s="3">
        <v>547</v>
      </c>
    </row>
    <row r="11" spans="2:34" x14ac:dyDescent="0.35">
      <c r="B11" s="4" t="s">
        <v>13</v>
      </c>
      <c r="C11" s="3">
        <v>3457</v>
      </c>
      <c r="D11" s="3">
        <v>384</v>
      </c>
      <c r="E11" s="3">
        <v>11</v>
      </c>
      <c r="F11" s="3">
        <v>3846</v>
      </c>
      <c r="G11" s="3">
        <v>2542</v>
      </c>
      <c r="H11" s="3">
        <v>329</v>
      </c>
      <c r="I11" s="3">
        <v>29</v>
      </c>
      <c r="J11" s="3">
        <v>2900</v>
      </c>
      <c r="K11" s="3">
        <v>1072</v>
      </c>
      <c r="L11" s="3">
        <v>104</v>
      </c>
      <c r="M11" s="3">
        <v>8</v>
      </c>
      <c r="N11" s="3">
        <v>1179</v>
      </c>
      <c r="O11" s="3">
        <v>828</v>
      </c>
      <c r="P11" s="3">
        <v>143</v>
      </c>
      <c r="Q11" s="3">
        <v>3</v>
      </c>
      <c r="R11" s="3">
        <v>954</v>
      </c>
      <c r="S11" s="3">
        <v>1220</v>
      </c>
      <c r="T11" s="3">
        <v>174</v>
      </c>
      <c r="U11" s="3">
        <v>5</v>
      </c>
      <c r="V11" s="3">
        <v>1367</v>
      </c>
      <c r="W11" s="3">
        <v>1347</v>
      </c>
      <c r="X11" s="3">
        <v>153</v>
      </c>
      <c r="Y11" s="3">
        <v>26</v>
      </c>
      <c r="Z11" s="3">
        <v>1526</v>
      </c>
      <c r="AA11" s="3">
        <v>1942</v>
      </c>
      <c r="AB11" s="3">
        <v>183</v>
      </c>
      <c r="AC11" s="3">
        <v>24</v>
      </c>
      <c r="AD11" s="3">
        <v>2149</v>
      </c>
      <c r="AE11" s="3">
        <v>2141</v>
      </c>
      <c r="AF11" s="3">
        <v>184</v>
      </c>
      <c r="AG11" s="3">
        <v>38</v>
      </c>
      <c r="AH11" s="3">
        <v>2363</v>
      </c>
    </row>
    <row r="12" spans="2:34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2:34" ht="21" x14ac:dyDescent="0.35">
      <c r="B13" s="5" t="s">
        <v>0</v>
      </c>
      <c r="C13" s="8" t="s">
        <v>20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2:34" x14ac:dyDescent="0.35">
      <c r="B14" s="5"/>
      <c r="C14" s="6" t="s">
        <v>1</v>
      </c>
      <c r="D14" s="6"/>
      <c r="E14" s="6"/>
      <c r="F14" s="6"/>
      <c r="G14" s="6" t="s">
        <v>2</v>
      </c>
      <c r="H14" s="6"/>
      <c r="I14" s="6"/>
      <c r="J14" s="6"/>
      <c r="K14" s="6" t="s">
        <v>3</v>
      </c>
      <c r="L14" s="6"/>
      <c r="M14" s="6"/>
      <c r="N14" s="6"/>
      <c r="O14" s="6" t="s">
        <v>4</v>
      </c>
      <c r="P14" s="6"/>
      <c r="Q14" s="6"/>
      <c r="R14" s="6"/>
      <c r="S14" s="6" t="s">
        <v>5</v>
      </c>
      <c r="T14" s="6"/>
      <c r="U14" s="6"/>
      <c r="V14" s="6"/>
      <c r="W14" s="6" t="s">
        <v>6</v>
      </c>
      <c r="X14" s="6"/>
      <c r="Y14" s="6"/>
      <c r="Z14" s="6"/>
      <c r="AA14" s="6" t="s">
        <v>7</v>
      </c>
      <c r="AB14" s="6"/>
      <c r="AC14" s="6"/>
      <c r="AD14" s="6"/>
      <c r="AE14" s="6" t="s">
        <v>8</v>
      </c>
      <c r="AF14" s="6"/>
      <c r="AG14" s="6"/>
      <c r="AH14" s="6"/>
    </row>
    <row r="15" spans="2:34" x14ac:dyDescent="0.35">
      <c r="B15" s="5"/>
      <c r="C15" s="7" t="s">
        <v>9</v>
      </c>
      <c r="D15" s="7" t="s">
        <v>10</v>
      </c>
      <c r="E15" s="7" t="s">
        <v>11</v>
      </c>
      <c r="F15" s="7" t="s">
        <v>12</v>
      </c>
      <c r="G15" s="7" t="s">
        <v>9</v>
      </c>
      <c r="H15" s="7" t="s">
        <v>10</v>
      </c>
      <c r="I15" s="7" t="s">
        <v>11</v>
      </c>
      <c r="J15" s="7" t="s">
        <v>12</v>
      </c>
      <c r="K15" s="7" t="s">
        <v>9</v>
      </c>
      <c r="L15" s="7" t="s">
        <v>10</v>
      </c>
      <c r="M15" s="7" t="s">
        <v>11</v>
      </c>
      <c r="N15" s="7" t="s">
        <v>12</v>
      </c>
      <c r="O15" s="7" t="s">
        <v>9</v>
      </c>
      <c r="P15" s="7" t="s">
        <v>10</v>
      </c>
      <c r="Q15" s="7" t="s">
        <v>11</v>
      </c>
      <c r="R15" s="7" t="s">
        <v>12</v>
      </c>
      <c r="S15" s="7" t="s">
        <v>9</v>
      </c>
      <c r="T15" s="7" t="s">
        <v>10</v>
      </c>
      <c r="U15" s="7" t="s">
        <v>11</v>
      </c>
      <c r="V15" s="7" t="s">
        <v>12</v>
      </c>
      <c r="W15" s="7" t="s">
        <v>9</v>
      </c>
      <c r="X15" s="7" t="s">
        <v>10</v>
      </c>
      <c r="Y15" s="7" t="s">
        <v>11</v>
      </c>
      <c r="Z15" s="7" t="s">
        <v>12</v>
      </c>
      <c r="AA15" s="7" t="s">
        <v>9</v>
      </c>
      <c r="AB15" s="7" t="s">
        <v>10</v>
      </c>
      <c r="AC15" s="7" t="s">
        <v>11</v>
      </c>
      <c r="AD15" s="7" t="s">
        <v>12</v>
      </c>
      <c r="AE15" s="7" t="s">
        <v>9</v>
      </c>
      <c r="AF15" s="7" t="s">
        <v>10</v>
      </c>
      <c r="AG15" s="7" t="s">
        <v>11</v>
      </c>
      <c r="AH15" s="7" t="s">
        <v>12</v>
      </c>
    </row>
    <row r="16" spans="2:34" x14ac:dyDescent="0.35">
      <c r="B16" s="4" t="s">
        <v>14</v>
      </c>
      <c r="C16" s="3">
        <v>2154</v>
      </c>
      <c r="D16" s="3">
        <v>303</v>
      </c>
      <c r="E16" s="3">
        <v>7</v>
      </c>
      <c r="F16" s="3">
        <v>2464</v>
      </c>
      <c r="G16" s="3">
        <v>714</v>
      </c>
      <c r="H16" s="3">
        <v>128</v>
      </c>
      <c r="I16" s="3">
        <v>1</v>
      </c>
      <c r="J16" s="3">
        <v>843</v>
      </c>
      <c r="K16" s="3">
        <v>498</v>
      </c>
      <c r="L16" s="3">
        <v>68</v>
      </c>
      <c r="M16" s="3">
        <v>1</v>
      </c>
      <c r="N16" s="3">
        <v>567</v>
      </c>
      <c r="O16" s="3">
        <v>299</v>
      </c>
      <c r="P16" s="3">
        <v>32</v>
      </c>
      <c r="Q16" s="3">
        <v>1</v>
      </c>
      <c r="R16" s="3">
        <v>332</v>
      </c>
      <c r="S16" s="3">
        <v>0</v>
      </c>
      <c r="T16" s="3">
        <v>0</v>
      </c>
      <c r="U16" s="3">
        <v>0</v>
      </c>
      <c r="V16" s="3">
        <v>0</v>
      </c>
      <c r="W16" s="3">
        <v>341</v>
      </c>
      <c r="X16" s="3">
        <v>34</v>
      </c>
      <c r="Y16" s="3">
        <v>1</v>
      </c>
      <c r="Z16" s="3">
        <v>376</v>
      </c>
      <c r="AA16" s="3">
        <v>1325</v>
      </c>
      <c r="AB16" s="3">
        <v>120</v>
      </c>
      <c r="AC16" s="3">
        <v>0</v>
      </c>
      <c r="AD16" s="3">
        <v>1445</v>
      </c>
      <c r="AE16" s="3">
        <v>1103</v>
      </c>
      <c r="AF16" s="3">
        <v>60</v>
      </c>
      <c r="AG16" s="3">
        <v>0</v>
      </c>
      <c r="AH16" s="3">
        <v>1163</v>
      </c>
    </row>
    <row r="17" spans="2:34" x14ac:dyDescent="0.35">
      <c r="B17" s="4" t="s">
        <v>15</v>
      </c>
      <c r="C17" s="3">
        <v>1281</v>
      </c>
      <c r="D17" s="3">
        <v>270</v>
      </c>
      <c r="E17" s="3">
        <v>0</v>
      </c>
      <c r="F17" s="3">
        <v>1551</v>
      </c>
      <c r="G17" s="3">
        <v>842</v>
      </c>
      <c r="H17" s="3">
        <v>128</v>
      </c>
      <c r="I17" s="3">
        <v>2</v>
      </c>
      <c r="J17" s="3">
        <v>972</v>
      </c>
      <c r="K17" s="3">
        <v>454</v>
      </c>
      <c r="L17" s="3">
        <v>74</v>
      </c>
      <c r="M17" s="3">
        <v>9</v>
      </c>
      <c r="N17" s="3">
        <v>537</v>
      </c>
      <c r="O17" s="3">
        <v>257</v>
      </c>
      <c r="P17" s="3">
        <v>37</v>
      </c>
      <c r="Q17" s="3">
        <v>0</v>
      </c>
      <c r="R17" s="3">
        <v>294</v>
      </c>
      <c r="S17" s="3">
        <v>0</v>
      </c>
      <c r="T17" s="3">
        <v>0</v>
      </c>
      <c r="U17" s="3">
        <v>0</v>
      </c>
      <c r="V17" s="3">
        <v>0</v>
      </c>
      <c r="W17" s="3">
        <v>323</v>
      </c>
      <c r="X17" s="3">
        <v>55</v>
      </c>
      <c r="Y17" s="3">
        <v>3</v>
      </c>
      <c r="Z17" s="3">
        <v>381</v>
      </c>
      <c r="AA17" s="3">
        <v>211</v>
      </c>
      <c r="AB17" s="3">
        <v>46</v>
      </c>
      <c r="AC17" s="3">
        <v>0</v>
      </c>
      <c r="AD17" s="3">
        <v>257</v>
      </c>
      <c r="AE17" s="3">
        <v>239</v>
      </c>
      <c r="AF17" s="3">
        <v>51</v>
      </c>
      <c r="AG17" s="3">
        <v>3</v>
      </c>
      <c r="AH17" s="3">
        <v>293</v>
      </c>
    </row>
    <row r="18" spans="2:34" x14ac:dyDescent="0.35">
      <c r="B18" s="4" t="s">
        <v>16</v>
      </c>
      <c r="C18" s="3">
        <v>954</v>
      </c>
      <c r="D18" s="3">
        <v>176</v>
      </c>
      <c r="E18" s="3">
        <v>0</v>
      </c>
      <c r="F18" s="3">
        <v>1130</v>
      </c>
      <c r="G18" s="3">
        <v>867</v>
      </c>
      <c r="H18" s="3">
        <v>126</v>
      </c>
      <c r="I18" s="3">
        <v>2</v>
      </c>
      <c r="J18" s="3">
        <v>995</v>
      </c>
      <c r="K18" s="3">
        <v>484</v>
      </c>
      <c r="L18" s="3">
        <v>70</v>
      </c>
      <c r="M18" s="3">
        <v>1</v>
      </c>
      <c r="N18" s="3">
        <v>555</v>
      </c>
      <c r="O18" s="3">
        <v>540</v>
      </c>
      <c r="P18" s="3">
        <v>106</v>
      </c>
      <c r="Q18" s="3">
        <v>4</v>
      </c>
      <c r="R18" s="3">
        <v>650</v>
      </c>
      <c r="S18" s="3">
        <v>0</v>
      </c>
      <c r="T18" s="3">
        <v>0</v>
      </c>
      <c r="U18" s="3">
        <v>0</v>
      </c>
      <c r="V18" s="3">
        <v>0</v>
      </c>
      <c r="W18" s="3">
        <v>369</v>
      </c>
      <c r="X18" s="3">
        <v>49</v>
      </c>
      <c r="Y18" s="3">
        <v>1</v>
      </c>
      <c r="Z18" s="3">
        <v>419</v>
      </c>
      <c r="AA18" s="3">
        <v>382</v>
      </c>
      <c r="AB18" s="3">
        <v>83</v>
      </c>
      <c r="AC18" s="3">
        <v>0</v>
      </c>
      <c r="AD18" s="3">
        <v>465</v>
      </c>
      <c r="AE18" s="3">
        <v>296</v>
      </c>
      <c r="AF18" s="3">
        <v>63</v>
      </c>
      <c r="AG18" s="3">
        <v>0</v>
      </c>
      <c r="AH18" s="3">
        <v>359</v>
      </c>
    </row>
    <row r="19" spans="2:34" x14ac:dyDescent="0.35">
      <c r="B19" s="4" t="s">
        <v>17</v>
      </c>
      <c r="C19" s="3">
        <v>564</v>
      </c>
      <c r="D19" s="3">
        <v>122</v>
      </c>
      <c r="E19" s="3">
        <v>0</v>
      </c>
      <c r="F19" s="3">
        <v>686</v>
      </c>
      <c r="G19" s="3">
        <v>605</v>
      </c>
      <c r="H19" s="3">
        <v>82</v>
      </c>
      <c r="I19" s="3">
        <v>3</v>
      </c>
      <c r="J19" s="3">
        <v>690</v>
      </c>
      <c r="K19" s="3">
        <v>336</v>
      </c>
      <c r="L19" s="3">
        <v>55</v>
      </c>
      <c r="M19" s="3">
        <v>1</v>
      </c>
      <c r="N19" s="3">
        <v>392</v>
      </c>
      <c r="O19" s="3">
        <v>239</v>
      </c>
      <c r="P19" s="3">
        <v>28</v>
      </c>
      <c r="Q19" s="3">
        <v>1</v>
      </c>
      <c r="R19" s="3">
        <v>268</v>
      </c>
      <c r="S19" s="3">
        <v>0</v>
      </c>
      <c r="T19" s="3">
        <v>0</v>
      </c>
      <c r="U19" s="3">
        <v>0</v>
      </c>
      <c r="V19" s="3">
        <v>0</v>
      </c>
      <c r="W19" s="3">
        <v>220</v>
      </c>
      <c r="X19" s="3">
        <v>45</v>
      </c>
      <c r="Y19" s="3">
        <v>3</v>
      </c>
      <c r="Z19" s="3">
        <v>268</v>
      </c>
      <c r="AA19" s="3">
        <v>237</v>
      </c>
      <c r="AB19" s="3">
        <v>50</v>
      </c>
      <c r="AC19" s="3">
        <v>0</v>
      </c>
      <c r="AD19" s="3">
        <v>287</v>
      </c>
      <c r="AE19" s="3">
        <v>199</v>
      </c>
      <c r="AF19" s="3">
        <v>63</v>
      </c>
      <c r="AG19" s="3">
        <v>1</v>
      </c>
      <c r="AH19" s="3">
        <v>263</v>
      </c>
    </row>
    <row r="20" spans="2:34" x14ac:dyDescent="0.35">
      <c r="B20" s="4" t="s">
        <v>18</v>
      </c>
      <c r="C20" s="3">
        <v>956</v>
      </c>
      <c r="D20" s="3">
        <v>142</v>
      </c>
      <c r="E20" s="3">
        <v>0</v>
      </c>
      <c r="F20" s="3">
        <v>1098</v>
      </c>
      <c r="G20" s="3">
        <v>821</v>
      </c>
      <c r="H20" s="3">
        <v>110</v>
      </c>
      <c r="I20" s="3">
        <v>1</v>
      </c>
      <c r="J20" s="3">
        <v>932</v>
      </c>
      <c r="K20" s="3">
        <v>352</v>
      </c>
      <c r="L20" s="3">
        <v>35</v>
      </c>
      <c r="M20" s="3">
        <v>0</v>
      </c>
      <c r="N20" s="3">
        <v>387</v>
      </c>
      <c r="O20" s="3">
        <v>237</v>
      </c>
      <c r="P20" s="3">
        <v>29</v>
      </c>
      <c r="Q20" s="3">
        <v>1</v>
      </c>
      <c r="R20" s="3">
        <v>267</v>
      </c>
      <c r="S20" s="3">
        <v>0</v>
      </c>
      <c r="T20" s="3">
        <v>0</v>
      </c>
      <c r="U20" s="3">
        <v>0</v>
      </c>
      <c r="V20" s="3">
        <v>0</v>
      </c>
      <c r="W20" s="3">
        <v>199</v>
      </c>
      <c r="X20" s="3">
        <v>17</v>
      </c>
      <c r="Y20" s="3">
        <v>0</v>
      </c>
      <c r="Z20" s="3">
        <v>216</v>
      </c>
      <c r="AA20" s="3">
        <v>305</v>
      </c>
      <c r="AB20" s="3">
        <v>30</v>
      </c>
      <c r="AC20" s="3">
        <v>0</v>
      </c>
      <c r="AD20" s="3">
        <v>335</v>
      </c>
      <c r="AE20" s="3">
        <v>182</v>
      </c>
      <c r="AF20" s="3">
        <v>19</v>
      </c>
      <c r="AG20" s="3">
        <v>0</v>
      </c>
      <c r="AH20" s="3">
        <v>201</v>
      </c>
    </row>
    <row r="21" spans="2:34" x14ac:dyDescent="0.35">
      <c r="B21" s="4" t="s">
        <v>13</v>
      </c>
      <c r="C21" s="3">
        <v>2154</v>
      </c>
      <c r="D21" s="3">
        <v>303</v>
      </c>
      <c r="E21" s="3">
        <v>7</v>
      </c>
      <c r="F21" s="3">
        <v>2464</v>
      </c>
      <c r="G21" s="3">
        <v>867</v>
      </c>
      <c r="H21" s="3">
        <v>128</v>
      </c>
      <c r="I21" s="3">
        <v>3</v>
      </c>
      <c r="J21" s="3">
        <v>995</v>
      </c>
      <c r="K21" s="3">
        <v>498</v>
      </c>
      <c r="L21" s="3">
        <v>74</v>
      </c>
      <c r="M21" s="3">
        <v>9</v>
      </c>
      <c r="N21" s="3">
        <v>567</v>
      </c>
      <c r="O21" s="3">
        <v>540</v>
      </c>
      <c r="P21" s="3">
        <v>106</v>
      </c>
      <c r="Q21" s="3">
        <v>4</v>
      </c>
      <c r="R21" s="3">
        <v>650</v>
      </c>
      <c r="S21" s="3">
        <v>0</v>
      </c>
      <c r="T21" s="3">
        <v>0</v>
      </c>
      <c r="U21" s="3">
        <v>0</v>
      </c>
      <c r="V21" s="3">
        <v>0</v>
      </c>
      <c r="W21" s="3">
        <v>369</v>
      </c>
      <c r="X21" s="3">
        <v>55</v>
      </c>
      <c r="Y21" s="3">
        <v>3</v>
      </c>
      <c r="Z21" s="3">
        <v>419</v>
      </c>
      <c r="AA21" s="3">
        <v>1325</v>
      </c>
      <c r="AB21" s="3">
        <v>120</v>
      </c>
      <c r="AC21" s="3">
        <v>0</v>
      </c>
      <c r="AD21" s="3">
        <v>1445</v>
      </c>
      <c r="AE21" s="3">
        <v>1103</v>
      </c>
      <c r="AF21" s="3">
        <v>63</v>
      </c>
      <c r="AG21" s="3">
        <v>3</v>
      </c>
      <c r="AH21" s="3">
        <v>1163</v>
      </c>
    </row>
    <row r="24" spans="2:34" ht="26" x14ac:dyDescent="0.35">
      <c r="B24" s="11" t="s">
        <v>23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x14ac:dyDescent="0.35">
      <c r="B25" s="5" t="s">
        <v>0</v>
      </c>
      <c r="C25" s="6" t="s">
        <v>1</v>
      </c>
      <c r="D25" s="6"/>
      <c r="E25" s="6"/>
      <c r="F25" s="6"/>
      <c r="G25" s="6" t="s">
        <v>2</v>
      </c>
      <c r="H25" s="6"/>
      <c r="I25" s="6"/>
      <c r="J25" s="6"/>
      <c r="K25" s="6" t="s">
        <v>3</v>
      </c>
      <c r="L25" s="6"/>
      <c r="M25" s="6"/>
      <c r="N25" s="6"/>
      <c r="O25" s="6" t="s">
        <v>4</v>
      </c>
      <c r="P25" s="6"/>
      <c r="Q25" s="6"/>
      <c r="R25" s="6"/>
      <c r="S25" s="6" t="s">
        <v>5</v>
      </c>
      <c r="T25" s="6"/>
      <c r="U25" s="6"/>
      <c r="V25" s="6"/>
      <c r="W25" s="6" t="s">
        <v>6</v>
      </c>
      <c r="X25" s="6"/>
      <c r="Y25" s="6"/>
      <c r="Z25" s="6"/>
      <c r="AA25" s="6" t="s">
        <v>7</v>
      </c>
      <c r="AB25" s="6"/>
      <c r="AC25" s="6"/>
      <c r="AD25" s="6"/>
      <c r="AE25" s="6" t="s">
        <v>8</v>
      </c>
      <c r="AF25" s="6"/>
      <c r="AG25" s="6"/>
      <c r="AH25" s="6"/>
    </row>
    <row r="26" spans="2:34" x14ac:dyDescent="0.35">
      <c r="B26" s="5"/>
      <c r="C26" s="7" t="s">
        <v>9</v>
      </c>
      <c r="D26" s="7" t="s">
        <v>10</v>
      </c>
      <c r="E26" s="7" t="s">
        <v>11</v>
      </c>
      <c r="F26" s="7" t="s">
        <v>12</v>
      </c>
      <c r="G26" s="7" t="s">
        <v>9</v>
      </c>
      <c r="H26" s="7" t="s">
        <v>10</v>
      </c>
      <c r="I26" s="7" t="s">
        <v>11</v>
      </c>
      <c r="J26" s="7" t="s">
        <v>12</v>
      </c>
      <c r="K26" s="7" t="s">
        <v>9</v>
      </c>
      <c r="L26" s="7" t="s">
        <v>10</v>
      </c>
      <c r="M26" s="7" t="s">
        <v>11</v>
      </c>
      <c r="N26" s="7" t="s">
        <v>12</v>
      </c>
      <c r="O26" s="7" t="s">
        <v>9</v>
      </c>
      <c r="P26" s="7" t="s">
        <v>10</v>
      </c>
      <c r="Q26" s="7" t="s">
        <v>11</v>
      </c>
      <c r="R26" s="7" t="s">
        <v>12</v>
      </c>
      <c r="S26" s="7" t="s">
        <v>9</v>
      </c>
      <c r="T26" s="7" t="s">
        <v>10</v>
      </c>
      <c r="U26" s="7" t="s">
        <v>11</v>
      </c>
      <c r="V26" s="7" t="s">
        <v>12</v>
      </c>
      <c r="W26" s="7" t="s">
        <v>9</v>
      </c>
      <c r="X26" s="7" t="s">
        <v>10</v>
      </c>
      <c r="Y26" s="7" t="s">
        <v>11</v>
      </c>
      <c r="Z26" s="7" t="s">
        <v>12</v>
      </c>
      <c r="AA26" s="7" t="s">
        <v>9</v>
      </c>
      <c r="AB26" s="7" t="s">
        <v>10</v>
      </c>
      <c r="AC26" s="7" t="s">
        <v>11</v>
      </c>
      <c r="AD26" s="7" t="s">
        <v>12</v>
      </c>
      <c r="AE26" s="7" t="s">
        <v>9</v>
      </c>
      <c r="AF26" s="7" t="s">
        <v>10</v>
      </c>
      <c r="AG26" s="7" t="s">
        <v>11</v>
      </c>
      <c r="AH26" s="7" t="s">
        <v>12</v>
      </c>
    </row>
    <row r="27" spans="2:34" x14ac:dyDescent="0.35">
      <c r="B27" s="9" t="s">
        <v>21</v>
      </c>
      <c r="C27" s="10">
        <v>1719.5882352941176</v>
      </c>
      <c r="D27" s="10">
        <v>236.47058823529412</v>
      </c>
      <c r="E27" s="10">
        <v>6.7647058823529411</v>
      </c>
      <c r="F27" s="10">
        <f>SUM(C27:E27)</f>
        <v>1962.8235294117646</v>
      </c>
      <c r="G27" s="10">
        <v>1735</v>
      </c>
      <c r="H27" s="10">
        <v>223</v>
      </c>
      <c r="I27" s="10">
        <v>14.411764705882353</v>
      </c>
      <c r="J27" s="10">
        <f>SUM(G27:I27)</f>
        <v>1972.4117647058824</v>
      </c>
      <c r="K27" s="10">
        <v>731</v>
      </c>
      <c r="L27" s="10">
        <v>81.235294117647058</v>
      </c>
      <c r="M27" s="10">
        <v>2.8235294117647061</v>
      </c>
      <c r="N27" s="10">
        <f>SUM(K27:M27)</f>
        <v>815.05882352941182</v>
      </c>
      <c r="O27" s="10">
        <v>578.05882352941171</v>
      </c>
      <c r="P27" s="10">
        <v>86.82352941176471</v>
      </c>
      <c r="Q27" s="10">
        <v>0.58823529411764708</v>
      </c>
      <c r="R27" s="10">
        <f>SUM(O27:Q27)</f>
        <v>665.47058823529414</v>
      </c>
      <c r="S27" s="10">
        <v>731.41176470588232</v>
      </c>
      <c r="T27" s="10">
        <v>103.41176470588235</v>
      </c>
      <c r="U27" s="10">
        <v>1.5294117647058822</v>
      </c>
      <c r="V27" s="10">
        <f>SUM(S27:U27)</f>
        <v>836.35294117647049</v>
      </c>
      <c r="W27" s="10">
        <v>817.17647058823525</v>
      </c>
      <c r="X27" s="10">
        <v>84.529411764705884</v>
      </c>
      <c r="Y27" s="10">
        <v>15.294117647058824</v>
      </c>
      <c r="Z27" s="10">
        <f>SUM(W27:Y27)</f>
        <v>916.99999999999989</v>
      </c>
      <c r="AA27" s="10">
        <v>834.52941176470586</v>
      </c>
      <c r="AB27" s="10">
        <v>112.23529411764706</v>
      </c>
      <c r="AC27" s="10">
        <v>10.647058823529411</v>
      </c>
      <c r="AD27" s="10">
        <f>SUM(AA27:AC27)</f>
        <v>957.41176470588232</v>
      </c>
      <c r="AE27" s="10">
        <v>979</v>
      </c>
      <c r="AF27" s="10">
        <v>110.64705882352941</v>
      </c>
      <c r="AG27" s="10">
        <v>13.529411764705882</v>
      </c>
      <c r="AH27" s="10">
        <f>SUM(AE27:AG27)</f>
        <v>1103.1764705882354</v>
      </c>
    </row>
    <row r="28" spans="2:34" x14ac:dyDescent="0.35">
      <c r="B28" s="9" t="s">
        <v>22</v>
      </c>
      <c r="C28" s="10">
        <v>1228.9411764705883</v>
      </c>
      <c r="D28" s="10">
        <v>193.76470588235293</v>
      </c>
      <c r="E28" s="10">
        <v>1.5294117647058822</v>
      </c>
      <c r="F28" s="10">
        <f>SUM(C28:E28)</f>
        <v>1424.2352941176471</v>
      </c>
      <c r="G28" s="10">
        <v>720.88235294117646</v>
      </c>
      <c r="H28" s="10">
        <v>102.94117647058823</v>
      </c>
      <c r="I28" s="10">
        <v>0.94117647058823528</v>
      </c>
      <c r="J28" s="10">
        <f>SUM(G28:I28)</f>
        <v>824.76470588235293</v>
      </c>
      <c r="K28" s="10">
        <v>381.35294117647061</v>
      </c>
      <c r="L28" s="10">
        <v>45.176470588235297</v>
      </c>
      <c r="M28" s="10">
        <v>1</v>
      </c>
      <c r="N28" s="10">
        <f>SUM(K28:M28)</f>
        <v>427.52941176470591</v>
      </c>
      <c r="O28" s="10">
        <v>323.70588235294116</v>
      </c>
      <c r="P28" s="10">
        <v>48.588235294117645</v>
      </c>
      <c r="Q28" s="10">
        <v>0.94117647058823528</v>
      </c>
      <c r="R28" s="10">
        <f>SUM(O28:Q28)</f>
        <v>373.23529411764702</v>
      </c>
      <c r="S28" s="10">
        <v>0</v>
      </c>
      <c r="T28" s="10">
        <v>0</v>
      </c>
      <c r="U28" s="10">
        <v>0</v>
      </c>
      <c r="V28" s="10">
        <f>SUM(S28:U28)</f>
        <v>0</v>
      </c>
      <c r="W28" s="10">
        <v>271.23529411764707</v>
      </c>
      <c r="X28" s="10">
        <v>32.529411764705884</v>
      </c>
      <c r="Y28" s="10">
        <v>0.70588235294117652</v>
      </c>
      <c r="Z28" s="10">
        <f>SUM(W28:Y28)</f>
        <v>304.47058823529409</v>
      </c>
      <c r="AA28" s="10">
        <v>545.88235294117646</v>
      </c>
      <c r="AB28" s="10">
        <v>66.764705882352942</v>
      </c>
      <c r="AC28" s="10">
        <v>0</v>
      </c>
      <c r="AD28" s="10">
        <f>SUM(AA28:AC28)</f>
        <v>612.64705882352939</v>
      </c>
      <c r="AE28" s="10">
        <v>442.23529411764707</v>
      </c>
      <c r="AF28" s="10">
        <v>40.352941176470587</v>
      </c>
      <c r="AG28" s="10">
        <v>0.23529411764705882</v>
      </c>
      <c r="AH28" s="10">
        <f>SUM(AE28:AG28)</f>
        <v>482.82352941176475</v>
      </c>
    </row>
    <row r="32" spans="2:34" ht="29" x14ac:dyDescent="0.35">
      <c r="B32" s="15" t="s">
        <v>26</v>
      </c>
      <c r="C32" s="15" t="s">
        <v>25</v>
      </c>
    </row>
    <row r="33" spans="2:3" x14ac:dyDescent="0.35">
      <c r="B33" s="13" t="s">
        <v>1</v>
      </c>
      <c r="C33" s="14">
        <v>0.37990000000000002</v>
      </c>
    </row>
    <row r="34" spans="2:3" x14ac:dyDescent="0.35">
      <c r="B34" s="13" t="s">
        <v>2</v>
      </c>
      <c r="C34" s="14">
        <v>0.80930000000000002</v>
      </c>
    </row>
    <row r="35" spans="2:3" x14ac:dyDescent="0.35">
      <c r="B35" s="13" t="s">
        <v>3</v>
      </c>
      <c r="C35" s="14">
        <v>0.72809999999999997</v>
      </c>
    </row>
    <row r="36" spans="2:3" x14ac:dyDescent="0.35">
      <c r="B36" s="13" t="s">
        <v>4</v>
      </c>
      <c r="C36" s="14">
        <v>0.56510000000000005</v>
      </c>
    </row>
    <row r="37" spans="2:3" x14ac:dyDescent="0.35">
      <c r="B37" s="13" t="s">
        <v>5</v>
      </c>
      <c r="C37" s="14">
        <v>0.47289999999999999</v>
      </c>
    </row>
    <row r="38" spans="2:3" x14ac:dyDescent="0.35">
      <c r="B38" s="13" t="s">
        <v>6</v>
      </c>
      <c r="C38" s="14">
        <v>0.46700000000000003</v>
      </c>
    </row>
    <row r="39" spans="2:3" x14ac:dyDescent="0.35">
      <c r="B39" s="13" t="s">
        <v>7</v>
      </c>
      <c r="C39" s="14">
        <v>0.48659999999999998</v>
      </c>
    </row>
    <row r="40" spans="2:3" x14ac:dyDescent="0.35">
      <c r="B40" s="13" t="s">
        <v>8</v>
      </c>
      <c r="C40" s="14">
        <v>0.96389999999999998</v>
      </c>
    </row>
    <row r="41" spans="2:3" x14ac:dyDescent="0.35">
      <c r="B41" s="12"/>
    </row>
  </sheetData>
  <mergeCells count="31">
    <mergeCell ref="B24:AH24"/>
    <mergeCell ref="C25:F25"/>
    <mergeCell ref="G25:J25"/>
    <mergeCell ref="K25:N25"/>
    <mergeCell ref="O25:R25"/>
    <mergeCell ref="S25:V25"/>
    <mergeCell ref="W25:Z25"/>
    <mergeCell ref="AA25:AD25"/>
    <mergeCell ref="AE25:AH25"/>
    <mergeCell ref="B25:B26"/>
    <mergeCell ref="K14:N14"/>
    <mergeCell ref="O14:R14"/>
    <mergeCell ref="S14:V14"/>
    <mergeCell ref="W14:Z14"/>
    <mergeCell ref="AA14:AD14"/>
    <mergeCell ref="B2:AH2"/>
    <mergeCell ref="AE14:AH14"/>
    <mergeCell ref="C4:F4"/>
    <mergeCell ref="G4:J4"/>
    <mergeCell ref="K4:N4"/>
    <mergeCell ref="O4:R4"/>
    <mergeCell ref="S4:V4"/>
    <mergeCell ref="W4:Z4"/>
    <mergeCell ref="AA4:AD4"/>
    <mergeCell ref="C14:F14"/>
    <mergeCell ref="G14:J14"/>
    <mergeCell ref="AE4:AH4"/>
    <mergeCell ref="B13:B15"/>
    <mergeCell ref="C13:AH13"/>
    <mergeCell ref="B3:B5"/>
    <mergeCell ref="C3:A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Pluto2594</dc:creator>
  <cp:lastModifiedBy>Pluto2594</cp:lastModifiedBy>
  <dcterms:created xsi:type="dcterms:W3CDTF">2026-07-08T14:17:46Z</dcterms:created>
  <dcterms:modified xsi:type="dcterms:W3CDTF">2026-07-08T14:30:01Z</dcterms:modified>
</cp:coreProperties>
</file>